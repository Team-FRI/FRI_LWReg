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FRI_LWReg\data\"/>
    </mc:Choice>
  </mc:AlternateContent>
  <xr:revisionPtr revIDLastSave="0" documentId="13_ncr:1_{266BA01B-1F4E-4833-B6A5-3E0BD26CBC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95CI_fromRefs" sheetId="1" r:id="rId1"/>
    <sheet name="FRI_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9" i="1"/>
  <c r="H11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tc={70A18906-2A3D-45BF-B083-17777DF3DF9D}</author>
    <author>tc={F054D81A-D517-484E-96B7-B0ED3D63A877}</author>
  </authors>
  <commentList>
    <comment ref="E12" authorId="0" shapeId="0" xr:uid="{70A18906-2A3D-45BF-B083-17777DF3DF9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the slimy CI because it’s wider - same mean for b.</t>
      </text>
    </comment>
    <comment ref="J12" authorId="1" shapeId="0" xr:uid="{F054D81A-D517-484E-96B7-B0ED3D63A8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Mottled sculpin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tc={5B2ED0B4-6161-45A7-AA03-FB28041CDEF8}</author>
    <author>tc={E921BBC4-6ADE-485B-BA29-39B671D6FF82}</author>
  </authors>
  <commentList>
    <comment ref="H11" authorId="0" shapeId="0" xr:uid="{5B2ED0B4-6161-45A7-AA03-FB28041CDEF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the slimy CI because it’s wider - same mean for b.</t>
      </text>
    </comment>
    <comment ref="R11" authorId="1" shapeId="0" xr:uid="{E921BBC4-6ADE-485B-BA29-39B671D6FF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Mottled</t>
      </text>
    </comment>
  </commentList>
</comments>
</file>

<file path=xl/sharedStrings.xml><?xml version="1.0" encoding="utf-8"?>
<sst xmlns="http://schemas.openxmlformats.org/spreadsheetml/2006/main" count="416" uniqueCount="208">
  <si>
    <t>Allegheny pearl dace</t>
  </si>
  <si>
    <t>American eel</t>
  </si>
  <si>
    <t>Banded killifish</t>
  </si>
  <si>
    <t>Blacknose dace</t>
  </si>
  <si>
    <t>Bluegill</t>
  </si>
  <si>
    <t>Bluntnose Minnow</t>
  </si>
  <si>
    <t>Brown Bullhead</t>
  </si>
  <si>
    <t>Central Stoneroller</t>
  </si>
  <si>
    <t>Common Shiner</t>
  </si>
  <si>
    <t>Creek Chub</t>
  </si>
  <si>
    <t>Cutlip Minnow</t>
  </si>
  <si>
    <t>Fallfish</t>
  </si>
  <si>
    <t>Fantail Darter</t>
  </si>
  <si>
    <t>Fathead Minnow</t>
  </si>
  <si>
    <t>Green Sunfish</t>
  </si>
  <si>
    <t>Greenside Darter</t>
  </si>
  <si>
    <t>Largemouth Bass</t>
  </si>
  <si>
    <t>Longnose Dace</t>
  </si>
  <si>
    <t>Margined Madtom</t>
  </si>
  <si>
    <t>Northern Hog Sucker</t>
  </si>
  <si>
    <t>Pumpkinseed</t>
  </si>
  <si>
    <t>Redear Sunfish</t>
  </si>
  <si>
    <t>River Chub</t>
  </si>
  <si>
    <t>Rock Bass</t>
  </si>
  <si>
    <t>Rosyside Dace</t>
  </si>
  <si>
    <t>Satinfin Shiner</t>
  </si>
  <si>
    <t>Sculpin spp.</t>
  </si>
  <si>
    <t>Smallmouth Bass</t>
  </si>
  <si>
    <t>Swallowtail Shiner</t>
  </si>
  <si>
    <t>Tessellated Darter</t>
  </si>
  <si>
    <t>White Sucker</t>
  </si>
  <si>
    <t>Yellow Bullhead</t>
  </si>
  <si>
    <t>Family</t>
  </si>
  <si>
    <t>Genus</t>
  </si>
  <si>
    <t>Anguillidae</t>
  </si>
  <si>
    <t>Anguilla</t>
  </si>
  <si>
    <t>Species</t>
  </si>
  <si>
    <t>A. rostrata</t>
  </si>
  <si>
    <t>Fundulidae</t>
  </si>
  <si>
    <t>Fundulus</t>
  </si>
  <si>
    <t>F. diaphanus</t>
  </si>
  <si>
    <t>Leuciscidae</t>
  </si>
  <si>
    <t>Rhinichthys</t>
  </si>
  <si>
    <t>R. atratulus</t>
  </si>
  <si>
    <t>Centrarchidae</t>
  </si>
  <si>
    <t>Lepomis</t>
  </si>
  <si>
    <t>L. macrochirus</t>
  </si>
  <si>
    <t>Pimephales</t>
  </si>
  <si>
    <t>P. notatus</t>
  </si>
  <si>
    <t>Ictaluridae</t>
  </si>
  <si>
    <t>Ameiurus</t>
  </si>
  <si>
    <t>A. nebulosus</t>
  </si>
  <si>
    <t>Campostoma</t>
  </si>
  <si>
    <t>C. anomalum</t>
  </si>
  <si>
    <t>Luxilus</t>
  </si>
  <si>
    <t>L. cornutus</t>
  </si>
  <si>
    <t>Semotilus</t>
  </si>
  <si>
    <t>S. atromaculatus</t>
  </si>
  <si>
    <t>Exoglossum</t>
  </si>
  <si>
    <t>E. maxillingua</t>
  </si>
  <si>
    <t>S. corporalis</t>
  </si>
  <si>
    <t>Percidae</t>
  </si>
  <si>
    <t>Etheostoma</t>
  </si>
  <si>
    <t>E. flabellare</t>
  </si>
  <si>
    <t>P. promelas</t>
  </si>
  <si>
    <t>L. cyanellus</t>
  </si>
  <si>
    <t>E. blennioides</t>
  </si>
  <si>
    <t>Micropterus</t>
  </si>
  <si>
    <t>M. nigricans</t>
  </si>
  <si>
    <t>R. cataractae</t>
  </si>
  <si>
    <t>Noturus</t>
  </si>
  <si>
    <t>N. insignis</t>
  </si>
  <si>
    <t>Catostomidae</t>
  </si>
  <si>
    <t>Hypentelium</t>
  </si>
  <si>
    <t>H. nigricans</t>
  </si>
  <si>
    <t>L. gibbosus</t>
  </si>
  <si>
    <t>L. microlophus</t>
  </si>
  <si>
    <t>Nocomis</t>
  </si>
  <si>
    <t>N. micropogon</t>
  </si>
  <si>
    <t>Ambloplites</t>
  </si>
  <si>
    <t>A. rupestris</t>
  </si>
  <si>
    <t>Clinostomus</t>
  </si>
  <si>
    <t>C. funduloides</t>
  </si>
  <si>
    <t>Cyprinella</t>
  </si>
  <si>
    <t>C. analostana</t>
  </si>
  <si>
    <t>Cottidae</t>
  </si>
  <si>
    <t>Cottus</t>
  </si>
  <si>
    <t>C. cognatus &amp; bairdii</t>
  </si>
  <si>
    <t>M. dolomieu</t>
  </si>
  <si>
    <t>Miniellus</t>
  </si>
  <si>
    <t>M. procne</t>
  </si>
  <si>
    <t>E. olmstedi</t>
  </si>
  <si>
    <t>Catostomus</t>
  </si>
  <si>
    <t>C. commersonii</t>
  </si>
  <si>
    <t>A. natalis</t>
  </si>
  <si>
    <t>Common Name</t>
  </si>
  <si>
    <t>Margariscus</t>
  </si>
  <si>
    <t>M. margarita</t>
  </si>
  <si>
    <t>3.10 (2.91 - 3.29)</t>
  </si>
  <si>
    <t>3.07 (2.91 - 3.23)</t>
  </si>
  <si>
    <t>3.13 (3.09 - 3.17)</t>
  </si>
  <si>
    <t>3.22 (3.07 - 3.37)</t>
  </si>
  <si>
    <t>3.06 (2.90 - 3.22)</t>
  </si>
  <si>
    <t>3.09 (2.92 - 3.26)</t>
  </si>
  <si>
    <t>3.05 (2.83 - 3.27)</t>
  </si>
  <si>
    <t>3.06 (2.88 - 3.24)</t>
  </si>
  <si>
    <t>3.01 (2.80 - 3.22)</t>
  </si>
  <si>
    <t>3.07 (3.00 - 3.14)</t>
  </si>
  <si>
    <t>3.11 (3.06 - 3.16)</t>
  </si>
  <si>
    <t>3.16 (3.00 - 3.32)</t>
  </si>
  <si>
    <t>3.11 (2.92 - 3.30)</t>
  </si>
  <si>
    <t>3.15 (2.97 - 3.33)</t>
  </si>
  <si>
    <t>3.12 (2.94 - 3.30)</t>
  </si>
  <si>
    <t>2.99 (2.92 - 3.06)</t>
  </si>
  <si>
    <t>3.18 (3.13 - 3.23)</t>
  </si>
  <si>
    <t>3.09 (2.95 - 3.23)</t>
  </si>
  <si>
    <t>3.08 (2.93 - 3.23)</t>
  </si>
  <si>
    <t>All Bayesian/modeled values</t>
  </si>
  <si>
    <t>3.14 (2.99 - 3.29)</t>
  </si>
  <si>
    <t>3.08 (3.04 - 3.12)</t>
  </si>
  <si>
    <t>3.07 (2.87 - 3.27)</t>
  </si>
  <si>
    <t>3.08 (3.02 - 3.14)</t>
  </si>
  <si>
    <t>3.09 (3.03 - 3.15)</t>
  </si>
  <si>
    <t>3.04 (2.98 - 3.10)</t>
  </si>
  <si>
    <t>3.06 (2.96 - 3.16)</t>
  </si>
  <si>
    <t>Miller et al (b)</t>
  </si>
  <si>
    <t>FishBase (b and CI)</t>
  </si>
  <si>
    <t>Miller et al (SE)</t>
  </si>
  <si>
    <t>Miller et al (CI, calculated)</t>
  </si>
  <si>
    <t>Parker  et al (b and CI)</t>
  </si>
  <si>
    <t>3.391 (3.331–3.451)</t>
  </si>
  <si>
    <t>2.94 (2.901–2.986)</t>
  </si>
  <si>
    <t>Driehaus et al (b and CI)</t>
  </si>
  <si>
    <t>3.06 (3.034–3.089)</t>
  </si>
  <si>
    <t>3.02 (2.998–3.038)</t>
  </si>
  <si>
    <t>3.07 (2.899–3.231)</t>
  </si>
  <si>
    <t>3.13 (3.073–3.192)</t>
  </si>
  <si>
    <t>3.28 (3.259–3.294)</t>
  </si>
  <si>
    <t>2.94 (2.863–3.021)</t>
  </si>
  <si>
    <t>3.05 (3.021–3.072)</t>
  </si>
  <si>
    <t>2.93 (2.825–3.035)</t>
  </si>
  <si>
    <t>3.03 (2.897–3.089)</t>
  </si>
  <si>
    <t>3.04 (2.991–3.079)</t>
  </si>
  <si>
    <t>3.04 (2.953–3.128)</t>
  </si>
  <si>
    <t>2.92 (2.843–3.061)</t>
  </si>
  <si>
    <t>3.19 (3.134–3.207)</t>
  </si>
  <si>
    <t>3.16 (3.052–3.263)</t>
  </si>
  <si>
    <t>3.09 (3.060–3.111)</t>
  </si>
  <si>
    <t>2.89 (2.839–2.942)</t>
  </si>
  <si>
    <t>Beckman (no CI)</t>
  </si>
  <si>
    <t>Bagley -- No overlapping species</t>
  </si>
  <si>
    <t>3.13</t>
  </si>
  <si>
    <t>2.99</t>
  </si>
  <si>
    <t>2.92</t>
  </si>
  <si>
    <t>3.06</t>
  </si>
  <si>
    <t>3.09</t>
  </si>
  <si>
    <t>3.03</t>
  </si>
  <si>
    <t>3.15</t>
  </si>
  <si>
    <t>3.11</t>
  </si>
  <si>
    <t>3.16</t>
  </si>
  <si>
    <t>3.08</t>
  </si>
  <si>
    <t>3.02</t>
  </si>
  <si>
    <t>3.04</t>
  </si>
  <si>
    <t>3.10</t>
  </si>
  <si>
    <t>3.12</t>
  </si>
  <si>
    <t>3.07</t>
  </si>
  <si>
    <t>3.22</t>
  </si>
  <si>
    <t>3.05</t>
  </si>
  <si>
    <t>3.01</t>
  </si>
  <si>
    <t>2.94</t>
  </si>
  <si>
    <t>Mean</t>
  </si>
  <si>
    <t>FishBase (b and CI83)</t>
  </si>
  <si>
    <t>Miller et al (b and CI83)</t>
  </si>
  <si>
    <t>FBlower83</t>
  </si>
  <si>
    <t>FBupper83</t>
  </si>
  <si>
    <t>Millerlower83</t>
  </si>
  <si>
    <t>Millerupper83</t>
  </si>
  <si>
    <t>Parkerlower83</t>
  </si>
  <si>
    <t>Parkerupper83</t>
  </si>
  <si>
    <t>Parker  et al (b and CI83)</t>
  </si>
  <si>
    <t>Parker (b)</t>
  </si>
  <si>
    <t>mean</t>
  </si>
  <si>
    <t>Drilower83</t>
  </si>
  <si>
    <t>Driupper83</t>
  </si>
  <si>
    <t>Driehaus et al (b and CI83)</t>
  </si>
  <si>
    <t>3.19</t>
  </si>
  <si>
    <t/>
  </si>
  <si>
    <t>3.28</t>
  </si>
  <si>
    <t>2.89</t>
  </si>
  <si>
    <t>SigDiffPubs</t>
  </si>
  <si>
    <t>No</t>
  </si>
  <si>
    <t>Yes - Miller lower than FB and Driehaus</t>
  </si>
  <si>
    <t>Yes - FB lower than Driehaus</t>
  </si>
  <si>
    <t>Maybe - FB lower CI than Beckman mean</t>
  </si>
  <si>
    <t>Maybe -  Beckman mean below FB and Driehaus CI83</t>
  </si>
  <si>
    <t>No - 3 overlap</t>
  </si>
  <si>
    <t>No - 2 overlap</t>
  </si>
  <si>
    <t>Yes - Driehaus lower than FB; Beckman mean similar to FB</t>
  </si>
  <si>
    <t>Yes - Miller and Drihaus both lower than FB; not sig dif from each other (but close);Beckman mean similar to Dri and Miller</t>
  </si>
  <si>
    <t>No - but WIDE variance and means would have bio impact (for mottled)</t>
  </si>
  <si>
    <t>-</t>
  </si>
  <si>
    <t>No - but FB CI MUCH wider than Driehaus</t>
  </si>
  <si>
    <t>Yes - FB and Driehaus lower than Parker; but Driehaus small CI at upper end of FB.</t>
  </si>
  <si>
    <t>No - but FB CI MUCH wider than Driehaus and mean of driehaus biologically important lower</t>
  </si>
  <si>
    <t>Yes - Drihaus much lower than FB</t>
  </si>
  <si>
    <t>FRI (b)</t>
  </si>
  <si>
    <t>b_2.5</t>
  </si>
  <si>
    <t>b_97.5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</si>
</sst>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son, Matt" id="{F5C3956C-C411-47A1-9B6C-C781EAF5434C}" userId="S::wilsonmatt@susqu.edu::b4039eaa-764c-4d92-95ff-2bfc4c264f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" dT="2025-08-15T18:10:57.43" personId="{F5C3956C-C411-47A1-9B6C-C781EAF5434C}" id="{70A18906-2A3D-45BF-B083-17777DF3DF9D}">
    <text>Used the slimy CI because it’s wider - same mean for b.</text>
  </threadedComment>
  <threadedComment ref="J12" dT="2025-08-15T18:43:57.84" personId="{F5C3956C-C411-47A1-9B6C-C781EAF5434C}" id="{F054D81A-D517-484E-96B7-B0ED3D63A877}">
    <text>Mottled sculpin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1" dT="2025-08-15T18:10:57.43" personId="{F5C3956C-C411-47A1-9B6C-C781EAF5434C}" id="{5B2ED0B4-6161-45A7-AA03-FB28041CDEF8}">
    <text>Used the slimy CI because it’s wider - same mean for b.</text>
  </threadedComment>
  <threadedComment ref="R11" dT="2025-08-18T17:20:00.24" personId="{F5C3956C-C411-47A1-9B6C-C781EAF5434C}" id="{E921BBC4-6ADE-485B-BA29-39B671D6FF82}">
    <text>Mottled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workbookViewId="0">
      <selection activeCell="N13" sqref="N13"/>
    </sheetView>
  </sheetViews>
  <sheetFormatPr defaultRowHeight="15" x14ac:dyDescent="0.25"/>
  <cols>
    <col min="1" max="1" width="19.85546875" bestFit="1" customWidth="1"/>
    <col min="2" max="2" width="19.7109375" bestFit="1" customWidth="1"/>
    <col min="3" max="3" width="17.85546875" bestFit="1" customWidth="1"/>
    <col min="4" max="4" width="19.85546875" bestFit="1" customWidth="1"/>
    <col min="5" max="5" width="19.42578125" bestFit="1" customWidth="1"/>
    <col min="6" max="6" width="13.85546875" bestFit="1" customWidth="1"/>
    <col min="7" max="7" width="14.7109375" bestFit="1" customWidth="1"/>
    <col min="8" max="8" width="24.7109375" bestFit="1" customWidth="1"/>
    <col min="9" max="9" width="20.5703125" bestFit="1" customWidth="1"/>
    <col min="10" max="10" width="22.42578125" bestFit="1" customWidth="1"/>
  </cols>
  <sheetData>
    <row r="1" spans="1:16" x14ac:dyDescent="0.25">
      <c r="A1" s="1" t="s">
        <v>95</v>
      </c>
      <c r="B1" s="1" t="s">
        <v>32</v>
      </c>
      <c r="C1" s="1" t="s">
        <v>33</v>
      </c>
      <c r="D1" s="1" t="s">
        <v>36</v>
      </c>
      <c r="E1" s="1" t="s">
        <v>126</v>
      </c>
      <c r="F1" s="1" t="s">
        <v>125</v>
      </c>
      <c r="G1" s="1" t="s">
        <v>127</v>
      </c>
      <c r="H1" s="1" t="s">
        <v>128</v>
      </c>
      <c r="I1" s="1" t="s">
        <v>129</v>
      </c>
      <c r="J1" s="1" t="s">
        <v>132</v>
      </c>
      <c r="K1" s="1" t="s">
        <v>149</v>
      </c>
      <c r="L1" s="1"/>
      <c r="P1" s="1"/>
    </row>
    <row r="2" spans="1:16" x14ac:dyDescent="0.25">
      <c r="A2" t="s">
        <v>1</v>
      </c>
      <c r="B2" t="s">
        <v>34</v>
      </c>
      <c r="C2" t="s">
        <v>35</v>
      </c>
      <c r="D2" t="s">
        <v>37</v>
      </c>
      <c r="E2" t="s">
        <v>114</v>
      </c>
      <c r="F2">
        <v>3.2073</v>
      </c>
      <c r="G2">
        <v>9.5600000000000004E-2</v>
      </c>
      <c r="H2">
        <f>G2*1.959964</f>
        <v>0.1873725584</v>
      </c>
    </row>
    <row r="3" spans="1:16" x14ac:dyDescent="0.25">
      <c r="A3" t="s">
        <v>30</v>
      </c>
      <c r="B3" t="s">
        <v>72</v>
      </c>
      <c r="C3" t="s">
        <v>92</v>
      </c>
      <c r="D3" t="s">
        <v>93</v>
      </c>
      <c r="E3" t="s">
        <v>113</v>
      </c>
      <c r="F3">
        <v>2.8128000000000002</v>
      </c>
      <c r="G3">
        <v>5.2400000000000002E-2</v>
      </c>
      <c r="H3">
        <f>G3*1.959964</f>
        <v>0.10270211360000001</v>
      </c>
      <c r="J3" t="s">
        <v>138</v>
      </c>
    </row>
    <row r="4" spans="1:16" x14ac:dyDescent="0.25">
      <c r="A4" t="s">
        <v>19</v>
      </c>
      <c r="B4" t="s">
        <v>72</v>
      </c>
      <c r="C4" t="s">
        <v>73</v>
      </c>
      <c r="D4" t="s">
        <v>74</v>
      </c>
      <c r="E4" t="s">
        <v>103</v>
      </c>
      <c r="J4" t="s">
        <v>139</v>
      </c>
    </row>
    <row r="5" spans="1:16" x14ac:dyDescent="0.25">
      <c r="A5" t="s">
        <v>23</v>
      </c>
      <c r="B5" t="s">
        <v>44</v>
      </c>
      <c r="C5" t="s">
        <v>79</v>
      </c>
      <c r="D5" t="s">
        <v>80</v>
      </c>
      <c r="E5" t="s">
        <v>122</v>
      </c>
      <c r="J5" t="s">
        <v>142</v>
      </c>
      <c r="K5">
        <v>2.9691399999999999</v>
      </c>
    </row>
    <row r="6" spans="1:16" x14ac:dyDescent="0.25">
      <c r="A6" t="s">
        <v>14</v>
      </c>
      <c r="B6" t="s">
        <v>44</v>
      </c>
      <c r="C6" t="s">
        <v>45</v>
      </c>
      <c r="D6" t="s">
        <v>65</v>
      </c>
      <c r="E6" t="s">
        <v>108</v>
      </c>
      <c r="J6" t="s">
        <v>145</v>
      </c>
    </row>
    <row r="7" spans="1:16" x14ac:dyDescent="0.25">
      <c r="A7" t="s">
        <v>20</v>
      </c>
      <c r="B7" t="s">
        <v>44</v>
      </c>
      <c r="C7" t="s">
        <v>45</v>
      </c>
      <c r="D7" t="s">
        <v>75</v>
      </c>
      <c r="E7" t="s">
        <v>108</v>
      </c>
      <c r="K7">
        <v>3.1985700000000001</v>
      </c>
    </row>
    <row r="8" spans="1:16" x14ac:dyDescent="0.25">
      <c r="A8" t="s">
        <v>4</v>
      </c>
      <c r="B8" t="s">
        <v>44</v>
      </c>
      <c r="C8" t="s">
        <v>45</v>
      </c>
      <c r="D8" t="s">
        <v>46</v>
      </c>
      <c r="E8" t="s">
        <v>100</v>
      </c>
      <c r="J8" t="s">
        <v>146</v>
      </c>
      <c r="K8">
        <v>3.1103700000000001</v>
      </c>
    </row>
    <row r="9" spans="1:16" x14ac:dyDescent="0.25">
      <c r="A9" t="s">
        <v>21</v>
      </c>
      <c r="B9" t="s">
        <v>44</v>
      </c>
      <c r="C9" t="s">
        <v>45</v>
      </c>
      <c r="D9" t="s">
        <v>76</v>
      </c>
      <c r="E9" t="s">
        <v>121</v>
      </c>
      <c r="F9">
        <v>3.0217999999999998</v>
      </c>
      <c r="G9">
        <v>3.9800000000000002E-2</v>
      </c>
      <c r="H9">
        <f>G9*1.959964</f>
        <v>7.8006567200000002E-2</v>
      </c>
    </row>
    <row r="10" spans="1:16" x14ac:dyDescent="0.25">
      <c r="A10" t="s">
        <v>27</v>
      </c>
      <c r="B10" t="s">
        <v>44</v>
      </c>
      <c r="C10" t="s">
        <v>67</v>
      </c>
      <c r="D10" t="s">
        <v>88</v>
      </c>
      <c r="E10" t="s">
        <v>123</v>
      </c>
      <c r="J10" t="s">
        <v>144</v>
      </c>
      <c r="K10">
        <v>3.0514999999999999</v>
      </c>
    </row>
    <row r="11" spans="1:16" x14ac:dyDescent="0.25">
      <c r="A11" t="s">
        <v>16</v>
      </c>
      <c r="B11" t="s">
        <v>44</v>
      </c>
      <c r="C11" t="s">
        <v>67</v>
      </c>
      <c r="D11" t="s">
        <v>68</v>
      </c>
      <c r="E11" t="s">
        <v>119</v>
      </c>
      <c r="F11">
        <v>2.9521999999999999</v>
      </c>
      <c r="G11">
        <v>2.2200000000000001E-2</v>
      </c>
      <c r="H11">
        <f>G11*1.959964</f>
        <v>4.3511200800000004E-2</v>
      </c>
      <c r="J11" t="s">
        <v>143</v>
      </c>
      <c r="K11">
        <v>2.9927800000000002</v>
      </c>
    </row>
    <row r="12" spans="1:16" x14ac:dyDescent="0.25">
      <c r="A12" t="s">
        <v>26</v>
      </c>
      <c r="B12" t="s">
        <v>85</v>
      </c>
      <c r="C12" t="s">
        <v>86</v>
      </c>
      <c r="D12" t="s">
        <v>87</v>
      </c>
      <c r="E12" t="s">
        <v>111</v>
      </c>
      <c r="J12" t="s">
        <v>141</v>
      </c>
    </row>
    <row r="13" spans="1:16" x14ac:dyDescent="0.25">
      <c r="A13" t="s">
        <v>2</v>
      </c>
      <c r="B13" t="s">
        <v>38</v>
      </c>
      <c r="C13" t="s">
        <v>39</v>
      </c>
      <c r="D13" t="s">
        <v>40</v>
      </c>
      <c r="E13" t="s">
        <v>98</v>
      </c>
    </row>
    <row r="14" spans="1:16" x14ac:dyDescent="0.25">
      <c r="A14" t="s">
        <v>31</v>
      </c>
      <c r="B14" t="s">
        <v>49</v>
      </c>
      <c r="C14" t="s">
        <v>50</v>
      </c>
      <c r="D14" t="s">
        <v>94</v>
      </c>
      <c r="E14" t="s">
        <v>124</v>
      </c>
      <c r="F14">
        <v>3.0171999999999999</v>
      </c>
      <c r="G14">
        <v>7.9100000000000004E-2</v>
      </c>
      <c r="H14">
        <f>G14*1.959964</f>
        <v>0.15503315240000001</v>
      </c>
      <c r="J14" t="s">
        <v>140</v>
      </c>
    </row>
    <row r="15" spans="1:16" x14ac:dyDescent="0.25">
      <c r="A15" t="s">
        <v>6</v>
      </c>
      <c r="B15" t="s">
        <v>49</v>
      </c>
      <c r="C15" t="s">
        <v>50</v>
      </c>
      <c r="D15" t="s">
        <v>51</v>
      </c>
      <c r="E15" t="s">
        <v>115</v>
      </c>
    </row>
    <row r="16" spans="1:16" x14ac:dyDescent="0.25">
      <c r="A16" t="s">
        <v>18</v>
      </c>
      <c r="B16" t="s">
        <v>49</v>
      </c>
      <c r="C16" t="s">
        <v>70</v>
      </c>
      <c r="D16" t="s">
        <v>71</v>
      </c>
      <c r="E16" t="s">
        <v>120</v>
      </c>
    </row>
    <row r="17" spans="1:10" x14ac:dyDescent="0.25">
      <c r="A17" t="s">
        <v>7</v>
      </c>
      <c r="B17" t="s">
        <v>41</v>
      </c>
      <c r="C17" t="s">
        <v>52</v>
      </c>
      <c r="D17" t="s">
        <v>53</v>
      </c>
      <c r="E17" t="s">
        <v>102</v>
      </c>
      <c r="J17" t="s">
        <v>134</v>
      </c>
    </row>
    <row r="18" spans="1:10" x14ac:dyDescent="0.25">
      <c r="A18" t="s">
        <v>24</v>
      </c>
      <c r="B18" t="s">
        <v>41</v>
      </c>
      <c r="C18" t="s">
        <v>81</v>
      </c>
      <c r="D18" t="s">
        <v>82</v>
      </c>
      <c r="E18" t="s">
        <v>110</v>
      </c>
    </row>
    <row r="19" spans="1:10" x14ac:dyDescent="0.25">
      <c r="A19" t="s">
        <v>25</v>
      </c>
      <c r="B19" t="s">
        <v>41</v>
      </c>
      <c r="C19" t="s">
        <v>83</v>
      </c>
      <c r="D19" t="s">
        <v>84</v>
      </c>
      <c r="E19" t="s">
        <v>110</v>
      </c>
    </row>
    <row r="20" spans="1:10" x14ac:dyDescent="0.25">
      <c r="A20" t="s">
        <v>10</v>
      </c>
      <c r="B20" t="s">
        <v>41</v>
      </c>
      <c r="C20" t="s">
        <v>58</v>
      </c>
      <c r="D20" t="s">
        <v>59</v>
      </c>
      <c r="E20" t="s">
        <v>105</v>
      </c>
    </row>
    <row r="21" spans="1:10" x14ac:dyDescent="0.25">
      <c r="A21" t="s">
        <v>8</v>
      </c>
      <c r="B21" t="s">
        <v>41</v>
      </c>
      <c r="C21" t="s">
        <v>54</v>
      </c>
      <c r="D21" t="s">
        <v>55</v>
      </c>
      <c r="E21" t="s">
        <v>103</v>
      </c>
    </row>
    <row r="22" spans="1:10" x14ac:dyDescent="0.25">
      <c r="A22" t="s">
        <v>0</v>
      </c>
      <c r="B22" t="s">
        <v>41</v>
      </c>
      <c r="C22" t="s">
        <v>96</v>
      </c>
      <c r="D22" t="s">
        <v>97</v>
      </c>
      <c r="E22" t="s">
        <v>104</v>
      </c>
    </row>
    <row r="23" spans="1:10" x14ac:dyDescent="0.25">
      <c r="A23" t="s">
        <v>28</v>
      </c>
      <c r="B23" t="s">
        <v>41</v>
      </c>
      <c r="C23" t="s">
        <v>89</v>
      </c>
      <c r="D23" t="s">
        <v>90</v>
      </c>
      <c r="E23" t="s">
        <v>110</v>
      </c>
    </row>
    <row r="24" spans="1:10" x14ac:dyDescent="0.25">
      <c r="A24" t="s">
        <v>22</v>
      </c>
      <c r="B24" t="s">
        <v>41</v>
      </c>
      <c r="C24" t="s">
        <v>77</v>
      </c>
      <c r="D24" t="s">
        <v>78</v>
      </c>
      <c r="E24" t="s">
        <v>99</v>
      </c>
      <c r="J24" t="s">
        <v>133</v>
      </c>
    </row>
    <row r="25" spans="1:10" x14ac:dyDescent="0.25">
      <c r="A25" t="s">
        <v>5</v>
      </c>
      <c r="B25" t="s">
        <v>41</v>
      </c>
      <c r="C25" t="s">
        <v>47</v>
      </c>
      <c r="D25" t="s">
        <v>48</v>
      </c>
      <c r="E25" t="s">
        <v>101</v>
      </c>
      <c r="I25" t="s">
        <v>130</v>
      </c>
      <c r="J25" t="s">
        <v>137</v>
      </c>
    </row>
    <row r="26" spans="1:10" x14ac:dyDescent="0.25">
      <c r="A26" t="s">
        <v>13</v>
      </c>
      <c r="B26" t="s">
        <v>41</v>
      </c>
      <c r="C26" t="s">
        <v>47</v>
      </c>
      <c r="D26" t="s">
        <v>64</v>
      </c>
      <c r="E26" t="s">
        <v>107</v>
      </c>
    </row>
    <row r="27" spans="1:10" x14ac:dyDescent="0.25">
      <c r="A27" t="s">
        <v>3</v>
      </c>
      <c r="B27" t="s">
        <v>41</v>
      </c>
      <c r="C27" t="s">
        <v>42</v>
      </c>
      <c r="D27" t="s">
        <v>43</v>
      </c>
      <c r="E27" t="s">
        <v>99</v>
      </c>
      <c r="J27" t="s">
        <v>135</v>
      </c>
    </row>
    <row r="28" spans="1:10" x14ac:dyDescent="0.25">
      <c r="A28" t="s">
        <v>17</v>
      </c>
      <c r="B28" t="s">
        <v>41</v>
      </c>
      <c r="C28" t="s">
        <v>42</v>
      </c>
      <c r="D28" t="s">
        <v>69</v>
      </c>
      <c r="E28" t="s">
        <v>109</v>
      </c>
      <c r="J28" t="s">
        <v>136</v>
      </c>
    </row>
    <row r="29" spans="1:10" x14ac:dyDescent="0.25">
      <c r="A29" t="s">
        <v>9</v>
      </c>
      <c r="B29" t="s">
        <v>41</v>
      </c>
      <c r="C29" t="s">
        <v>56</v>
      </c>
      <c r="D29" t="s">
        <v>57</v>
      </c>
      <c r="E29" t="s">
        <v>104</v>
      </c>
      <c r="J29" t="s">
        <v>131</v>
      </c>
    </row>
    <row r="30" spans="1:10" x14ac:dyDescent="0.25">
      <c r="A30" t="s">
        <v>11</v>
      </c>
      <c r="B30" t="s">
        <v>41</v>
      </c>
      <c r="C30" t="s">
        <v>56</v>
      </c>
      <c r="D30" t="s">
        <v>60</v>
      </c>
      <c r="E30" t="s">
        <v>106</v>
      </c>
    </row>
    <row r="31" spans="1:10" x14ac:dyDescent="0.25">
      <c r="A31" t="s">
        <v>15</v>
      </c>
      <c r="B31" t="s">
        <v>61</v>
      </c>
      <c r="C31" t="s">
        <v>62</v>
      </c>
      <c r="D31" t="s">
        <v>66</v>
      </c>
      <c r="E31" t="s">
        <v>118</v>
      </c>
      <c r="J31" t="s">
        <v>147</v>
      </c>
    </row>
    <row r="32" spans="1:10" x14ac:dyDescent="0.25">
      <c r="A32" t="s">
        <v>12</v>
      </c>
      <c r="B32" t="s">
        <v>61</v>
      </c>
      <c r="C32" t="s">
        <v>62</v>
      </c>
      <c r="D32" t="s">
        <v>63</v>
      </c>
      <c r="E32" t="s">
        <v>116</v>
      </c>
      <c r="J32" t="s">
        <v>148</v>
      </c>
    </row>
    <row r="33" spans="1:5" x14ac:dyDescent="0.25">
      <c r="A33" t="s">
        <v>29</v>
      </c>
      <c r="B33" t="s">
        <v>61</v>
      </c>
      <c r="C33" t="s">
        <v>62</v>
      </c>
      <c r="D33" t="s">
        <v>91</v>
      </c>
      <c r="E33" t="s">
        <v>112</v>
      </c>
    </row>
    <row r="34" spans="1:5" x14ac:dyDescent="0.25">
      <c r="E34" s="1" t="s">
        <v>117</v>
      </c>
    </row>
  </sheetData>
  <sortState xmlns:xlrd2="http://schemas.microsoft.com/office/spreadsheetml/2017/richdata2" ref="A2:E33">
    <sortCondition ref="B2:B33"/>
    <sortCondition ref="C2:C33"/>
    <sortCondition ref="D2:D3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B71D-FD03-46F4-8BF6-6CF0A995BF58}">
  <dimension ref="A1:W28"/>
  <sheetViews>
    <sheetView tabSelected="1" workbookViewId="0">
      <selection activeCell="D30" sqref="D30"/>
    </sheetView>
  </sheetViews>
  <sheetFormatPr defaultRowHeight="15" x14ac:dyDescent="0.25"/>
  <cols>
    <col min="1" max="1" width="19.85546875" bestFit="1" customWidth="1"/>
    <col min="2" max="2" width="19.7109375" bestFit="1" customWidth="1"/>
    <col min="3" max="3" width="17.85546875" bestFit="1" customWidth="1"/>
    <col min="4" max="4" width="19.85546875" bestFit="1" customWidth="1"/>
    <col min="5" max="7" width="19.85546875" customWidth="1"/>
    <col min="8" max="8" width="19.42578125" bestFit="1" customWidth="1"/>
    <col min="9" max="9" width="8.140625" customWidth="1"/>
    <col min="10" max="11" width="19.42578125" customWidth="1"/>
    <col min="12" max="12" width="10.5703125" customWidth="1"/>
    <col min="13" max="13" width="14.7109375" bestFit="1" customWidth="1"/>
    <col min="14" max="14" width="24.7109375" bestFit="1" customWidth="1"/>
    <col min="15" max="15" width="11.42578125" customWidth="1"/>
    <col min="16" max="16" width="14" bestFit="1" customWidth="1"/>
    <col min="17" max="17" width="14.140625" bestFit="1" customWidth="1"/>
    <col min="19" max="20" width="12" bestFit="1" customWidth="1"/>
    <col min="21" max="21" width="15.42578125" bestFit="1" customWidth="1"/>
    <col min="23" max="23" width="9.140625" style="2"/>
  </cols>
  <sheetData>
    <row r="1" spans="1:23" x14ac:dyDescent="0.25">
      <c r="I1" s="1" t="s">
        <v>171</v>
      </c>
      <c r="L1" s="1" t="s">
        <v>172</v>
      </c>
      <c r="O1" s="1" t="s">
        <v>179</v>
      </c>
      <c r="R1" s="1" t="s">
        <v>184</v>
      </c>
      <c r="W1" s="2" t="s">
        <v>189</v>
      </c>
    </row>
    <row r="2" spans="1:23" x14ac:dyDescent="0.25">
      <c r="A2" s="1" t="s">
        <v>95</v>
      </c>
      <c r="B2" s="1" t="s">
        <v>32</v>
      </c>
      <c r="C2" s="1" t="s">
        <v>33</v>
      </c>
      <c r="D2" s="1" t="s">
        <v>36</v>
      </c>
      <c r="E2" s="1" t="s">
        <v>205</v>
      </c>
      <c r="F2" s="1" t="s">
        <v>206</v>
      </c>
      <c r="G2" s="1" t="s">
        <v>207</v>
      </c>
      <c r="H2" s="1" t="s">
        <v>126</v>
      </c>
      <c r="I2" s="1" t="s">
        <v>170</v>
      </c>
      <c r="J2" s="1" t="s">
        <v>173</v>
      </c>
      <c r="K2" s="1" t="s">
        <v>174</v>
      </c>
      <c r="L2" s="1" t="s">
        <v>125</v>
      </c>
      <c r="M2" s="1" t="s">
        <v>175</v>
      </c>
      <c r="N2" s="1" t="s">
        <v>176</v>
      </c>
      <c r="O2" s="1" t="s">
        <v>180</v>
      </c>
      <c r="P2" s="1" t="s">
        <v>177</v>
      </c>
      <c r="Q2" s="1" t="s">
        <v>178</v>
      </c>
      <c r="R2" s="1" t="s">
        <v>181</v>
      </c>
      <c r="S2" s="1" t="s">
        <v>182</v>
      </c>
      <c r="T2" s="1" t="s">
        <v>183</v>
      </c>
      <c r="U2" s="1" t="s">
        <v>149</v>
      </c>
      <c r="V2" s="1" t="s">
        <v>150</v>
      </c>
    </row>
    <row r="3" spans="1:23" x14ac:dyDescent="0.25">
      <c r="A3" t="s">
        <v>30</v>
      </c>
      <c r="B3" t="s">
        <v>72</v>
      </c>
      <c r="C3" t="s">
        <v>92</v>
      </c>
      <c r="D3" t="s">
        <v>93</v>
      </c>
      <c r="E3">
        <v>3.0345076434606701</v>
      </c>
      <c r="F3">
        <v>2.9841604014462</v>
      </c>
      <c r="G3">
        <v>3.0848548854751399</v>
      </c>
      <c r="H3" t="s">
        <v>113</v>
      </c>
      <c r="I3" t="s">
        <v>152</v>
      </c>
      <c r="J3">
        <v>2.9403571428571431</v>
      </c>
      <c r="K3">
        <v>3.0396428571428573</v>
      </c>
      <c r="L3">
        <v>2.8128000000000002</v>
      </c>
      <c r="M3">
        <v>2.7399653378040818</v>
      </c>
      <c r="N3">
        <v>2.8856346621959186</v>
      </c>
      <c r="R3" t="s">
        <v>169</v>
      </c>
      <c r="S3">
        <v>2.8853928571428571</v>
      </c>
      <c r="T3">
        <v>2.9946071428571428</v>
      </c>
      <c r="W3" s="2" t="s">
        <v>191</v>
      </c>
    </row>
    <row r="4" spans="1:23" x14ac:dyDescent="0.25">
      <c r="A4" t="s">
        <v>23</v>
      </c>
      <c r="B4" t="s">
        <v>44</v>
      </c>
      <c r="C4" t="s">
        <v>79</v>
      </c>
      <c r="D4" t="s">
        <v>80</v>
      </c>
      <c r="E4">
        <v>3.18313316658086</v>
      </c>
      <c r="F4">
        <v>3.0052331898640601</v>
      </c>
      <c r="G4">
        <v>3.3610331432976599</v>
      </c>
      <c r="H4" t="s">
        <v>122</v>
      </c>
      <c r="I4" t="s">
        <v>155</v>
      </c>
      <c r="J4">
        <v>3.0474489795918367</v>
      </c>
      <c r="K4">
        <v>3.132551020408163</v>
      </c>
      <c r="R4" t="s">
        <v>162</v>
      </c>
      <c r="S4">
        <v>3.0052500000000002</v>
      </c>
      <c r="T4">
        <v>3.0747499999999999</v>
      </c>
      <c r="U4">
        <v>2.9691399999999999</v>
      </c>
      <c r="W4" s="2" t="s">
        <v>194</v>
      </c>
    </row>
    <row r="5" spans="1:23" x14ac:dyDescent="0.25">
      <c r="A5" t="s">
        <v>14</v>
      </c>
      <c r="B5" t="s">
        <v>44</v>
      </c>
      <c r="C5" t="s">
        <v>45</v>
      </c>
      <c r="D5" t="s">
        <v>65</v>
      </c>
      <c r="E5">
        <v>3.1079339446100098</v>
      </c>
      <c r="F5">
        <v>3.0023220628527798</v>
      </c>
      <c r="G5">
        <v>3.2135458263672398</v>
      </c>
      <c r="H5" t="s">
        <v>108</v>
      </c>
      <c r="I5" t="s">
        <v>158</v>
      </c>
      <c r="J5">
        <v>3.0745408163265302</v>
      </c>
      <c r="K5">
        <v>3.1454591836734695</v>
      </c>
      <c r="R5" t="s">
        <v>185</v>
      </c>
      <c r="S5">
        <v>3.1502857142857144</v>
      </c>
      <c r="T5">
        <v>3.2297142857142855</v>
      </c>
      <c r="W5" s="2" t="s">
        <v>192</v>
      </c>
    </row>
    <row r="6" spans="1:23" x14ac:dyDescent="0.25">
      <c r="A6" t="s">
        <v>20</v>
      </c>
      <c r="B6" t="s">
        <v>44</v>
      </c>
      <c r="C6" t="s">
        <v>45</v>
      </c>
      <c r="D6" t="s">
        <v>75</v>
      </c>
      <c r="E6">
        <v>3.0060769229187199</v>
      </c>
      <c r="F6">
        <v>2.2026154309144799</v>
      </c>
      <c r="G6">
        <v>3.8095384149229701</v>
      </c>
      <c r="H6" t="s">
        <v>108</v>
      </c>
      <c r="I6" t="s">
        <v>158</v>
      </c>
      <c r="J6">
        <v>3.0745408163265302</v>
      </c>
      <c r="K6">
        <v>3.1454591836734695</v>
      </c>
      <c r="R6" t="s">
        <v>186</v>
      </c>
      <c r="U6">
        <v>3.1985700000000001</v>
      </c>
      <c r="W6" s="2" t="s">
        <v>193</v>
      </c>
    </row>
    <row r="7" spans="1:23" x14ac:dyDescent="0.25">
      <c r="A7" t="s">
        <v>4</v>
      </c>
      <c r="B7" t="s">
        <v>44</v>
      </c>
      <c r="C7" t="s">
        <v>45</v>
      </c>
      <c r="D7" t="s">
        <v>46</v>
      </c>
      <c r="E7">
        <v>3.24042600985267</v>
      </c>
      <c r="F7">
        <v>3.18745783426803</v>
      </c>
      <c r="G7">
        <v>3.2933941854373101</v>
      </c>
      <c r="H7" t="s">
        <v>100</v>
      </c>
      <c r="I7" t="s">
        <v>151</v>
      </c>
      <c r="J7">
        <v>3.1016326530612242</v>
      </c>
      <c r="K7">
        <v>3.1583673469387756</v>
      </c>
      <c r="R7" t="s">
        <v>159</v>
      </c>
      <c r="S7">
        <v>3.0834081632653061</v>
      </c>
      <c r="T7">
        <v>3.2365918367346942</v>
      </c>
      <c r="U7">
        <v>3.1103700000000001</v>
      </c>
      <c r="W7" s="2" t="s">
        <v>195</v>
      </c>
    </row>
    <row r="8" spans="1:23" x14ac:dyDescent="0.25">
      <c r="A8" t="s">
        <v>21</v>
      </c>
      <c r="B8" t="s">
        <v>44</v>
      </c>
      <c r="C8" t="s">
        <v>45</v>
      </c>
      <c r="D8" t="s">
        <v>76</v>
      </c>
      <c r="E8">
        <v>2.67793910826347</v>
      </c>
      <c r="F8">
        <v>1.4775843473507699</v>
      </c>
      <c r="G8">
        <v>3.8782938691761699</v>
      </c>
      <c r="H8" t="s">
        <v>121</v>
      </c>
      <c r="I8" t="s">
        <v>160</v>
      </c>
      <c r="J8">
        <v>3.0374489795918369</v>
      </c>
      <c r="K8">
        <v>3.1225510204081632</v>
      </c>
      <c r="L8">
        <v>3.0217999999999998</v>
      </c>
      <c r="M8">
        <v>2.9664790161183672</v>
      </c>
      <c r="N8">
        <v>3.0771209838816325</v>
      </c>
      <c r="R8" t="s">
        <v>186</v>
      </c>
      <c r="W8" s="2" t="s">
        <v>196</v>
      </c>
    </row>
    <row r="9" spans="1:23" x14ac:dyDescent="0.25">
      <c r="A9" t="s">
        <v>27</v>
      </c>
      <c r="B9" t="s">
        <v>44</v>
      </c>
      <c r="C9" t="s">
        <v>67</v>
      </c>
      <c r="D9" t="s">
        <v>88</v>
      </c>
      <c r="E9">
        <v>2.2425463559255601</v>
      </c>
      <c r="F9">
        <v>5.2253402567070699E-3</v>
      </c>
      <c r="G9">
        <v>4.47986737159441</v>
      </c>
      <c r="H9" t="s">
        <v>123</v>
      </c>
      <c r="I9" t="s">
        <v>162</v>
      </c>
      <c r="J9">
        <v>2.9974489795918369</v>
      </c>
      <c r="K9">
        <v>3.0825510204081632</v>
      </c>
      <c r="R9" t="s">
        <v>153</v>
      </c>
      <c r="S9">
        <v>2.8653928571428571</v>
      </c>
      <c r="T9">
        <v>2.9746071428571428</v>
      </c>
      <c r="U9">
        <v>3.0514999999999999</v>
      </c>
      <c r="W9" s="2" t="s">
        <v>197</v>
      </c>
    </row>
    <row r="10" spans="1:23" x14ac:dyDescent="0.25">
      <c r="A10" t="s">
        <v>16</v>
      </c>
      <c r="B10" t="s">
        <v>44</v>
      </c>
      <c r="C10" t="s">
        <v>67</v>
      </c>
      <c r="D10" t="s">
        <v>68</v>
      </c>
      <c r="E10">
        <v>3.0076385829661301</v>
      </c>
      <c r="F10">
        <v>2.9101228291046102</v>
      </c>
      <c r="G10">
        <v>3.10515433682765</v>
      </c>
      <c r="H10" t="s">
        <v>119</v>
      </c>
      <c r="I10" t="s">
        <v>160</v>
      </c>
      <c r="J10">
        <v>3.0516326530612243</v>
      </c>
      <c r="K10">
        <v>3.1083673469387758</v>
      </c>
      <c r="L10">
        <v>2.9521999999999999</v>
      </c>
      <c r="M10">
        <v>2.9213425667795918</v>
      </c>
      <c r="N10">
        <v>2.9830574332204081</v>
      </c>
      <c r="R10" t="s">
        <v>162</v>
      </c>
      <c r="S10">
        <v>2.9783010204081632</v>
      </c>
      <c r="T10">
        <v>3.1016989795918368</v>
      </c>
      <c r="U10">
        <v>2.9927800000000002</v>
      </c>
      <c r="W10" s="2" t="s">
        <v>198</v>
      </c>
    </row>
    <row r="11" spans="1:23" x14ac:dyDescent="0.25">
      <c r="A11" t="s">
        <v>26</v>
      </c>
      <c r="B11" t="s">
        <v>85</v>
      </c>
      <c r="C11" t="s">
        <v>86</v>
      </c>
      <c r="D11" t="s">
        <v>87</v>
      </c>
      <c r="E11">
        <v>3.0890412205878301</v>
      </c>
      <c r="F11">
        <v>3.0602105790837699</v>
      </c>
      <c r="G11">
        <v>3.1178718620919001</v>
      </c>
      <c r="H11" t="s">
        <v>111</v>
      </c>
      <c r="I11" t="s">
        <v>157</v>
      </c>
      <c r="J11">
        <v>3.02234693877551</v>
      </c>
      <c r="K11">
        <v>3.2776530612244898</v>
      </c>
      <c r="R11" t="s">
        <v>156</v>
      </c>
      <c r="S11">
        <v>2.9356785714285714</v>
      </c>
      <c r="T11">
        <v>3.1243214285714282</v>
      </c>
      <c r="W11" s="2" t="s">
        <v>199</v>
      </c>
    </row>
    <row r="12" spans="1:23" x14ac:dyDescent="0.25">
      <c r="A12" t="s">
        <v>2</v>
      </c>
      <c r="B12" t="s">
        <v>38</v>
      </c>
      <c r="C12" t="s">
        <v>39</v>
      </c>
      <c r="D12" t="s">
        <v>40</v>
      </c>
      <c r="E12">
        <v>3.0566811546674102</v>
      </c>
      <c r="F12">
        <v>2.90288561297695</v>
      </c>
      <c r="G12">
        <v>3.2104766963578801</v>
      </c>
      <c r="H12" t="s">
        <v>98</v>
      </c>
      <c r="I12" t="s">
        <v>163</v>
      </c>
      <c r="J12">
        <v>2.9652551020408167</v>
      </c>
      <c r="K12">
        <v>3.2347448979591835</v>
      </c>
      <c r="R12" t="s">
        <v>186</v>
      </c>
      <c r="W12" s="2" t="s">
        <v>200</v>
      </c>
    </row>
    <row r="13" spans="1:23" x14ac:dyDescent="0.25">
      <c r="A13" t="s">
        <v>18</v>
      </c>
      <c r="B13" t="s">
        <v>49</v>
      </c>
      <c r="C13" t="s">
        <v>70</v>
      </c>
      <c r="D13" t="s">
        <v>71</v>
      </c>
      <c r="E13">
        <v>2.92560261231591</v>
      </c>
      <c r="F13">
        <v>2.53593451453595</v>
      </c>
      <c r="G13">
        <v>3.31527071009587</v>
      </c>
      <c r="H13" t="s">
        <v>120</v>
      </c>
      <c r="I13" t="s">
        <v>165</v>
      </c>
      <c r="J13">
        <v>2.928163265306122</v>
      </c>
      <c r="K13">
        <v>3.2118367346938776</v>
      </c>
      <c r="R13" t="s">
        <v>186</v>
      </c>
      <c r="W13" s="2" t="s">
        <v>200</v>
      </c>
    </row>
    <row r="14" spans="1:23" x14ac:dyDescent="0.25">
      <c r="A14" t="s">
        <v>7</v>
      </c>
      <c r="B14" t="s">
        <v>41</v>
      </c>
      <c r="C14" t="s">
        <v>52</v>
      </c>
      <c r="D14" t="s">
        <v>53</v>
      </c>
      <c r="E14">
        <v>3.1096377078604598</v>
      </c>
      <c r="F14">
        <v>3.0299075524351502</v>
      </c>
      <c r="G14">
        <v>3.18936786328578</v>
      </c>
      <c r="H14" t="s">
        <v>102</v>
      </c>
      <c r="I14" t="s">
        <v>154</v>
      </c>
      <c r="J14">
        <v>2.946530612244898</v>
      </c>
      <c r="K14">
        <v>3.1734693877551021</v>
      </c>
      <c r="R14" t="s">
        <v>161</v>
      </c>
      <c r="S14">
        <v>3.0043979591836738</v>
      </c>
      <c r="T14">
        <v>3.0356020408163262</v>
      </c>
      <c r="W14" s="2" t="s">
        <v>201</v>
      </c>
    </row>
    <row r="15" spans="1:23" x14ac:dyDescent="0.25">
      <c r="A15" t="s">
        <v>24</v>
      </c>
      <c r="B15" t="s">
        <v>41</v>
      </c>
      <c r="C15" t="s">
        <v>81</v>
      </c>
      <c r="D15" t="s">
        <v>82</v>
      </c>
      <c r="E15">
        <v>2.6674979411460602</v>
      </c>
      <c r="F15">
        <v>2.3706463426645001</v>
      </c>
      <c r="G15">
        <v>2.96434953962763</v>
      </c>
      <c r="H15" t="s">
        <v>110</v>
      </c>
      <c r="I15" t="s">
        <v>158</v>
      </c>
      <c r="J15">
        <v>2.9752551020408164</v>
      </c>
      <c r="K15">
        <v>3.2447448979591833</v>
      </c>
      <c r="R15" t="s">
        <v>186</v>
      </c>
      <c r="W15" s="2" t="s">
        <v>200</v>
      </c>
    </row>
    <row r="16" spans="1:23" x14ac:dyDescent="0.25">
      <c r="A16" t="s">
        <v>10</v>
      </c>
      <c r="B16" t="s">
        <v>41</v>
      </c>
      <c r="C16" t="s">
        <v>58</v>
      </c>
      <c r="D16" t="s">
        <v>59</v>
      </c>
      <c r="E16">
        <v>3.0114265130724198</v>
      </c>
      <c r="F16">
        <v>2.8878409455553302</v>
      </c>
      <c r="G16">
        <v>3.1350120805895201</v>
      </c>
      <c r="H16" t="s">
        <v>105</v>
      </c>
      <c r="I16" t="s">
        <v>154</v>
      </c>
      <c r="J16">
        <v>2.9323469387755101</v>
      </c>
      <c r="K16">
        <v>3.18765306122449</v>
      </c>
      <c r="R16" t="s">
        <v>186</v>
      </c>
      <c r="W16" s="2" t="s">
        <v>200</v>
      </c>
    </row>
    <row r="17" spans="1:23" x14ac:dyDescent="0.25">
      <c r="A17" t="s">
        <v>8</v>
      </c>
      <c r="B17" t="s">
        <v>41</v>
      </c>
      <c r="C17" t="s">
        <v>54</v>
      </c>
      <c r="D17" t="s">
        <v>55</v>
      </c>
      <c r="E17">
        <v>3.16723645293846</v>
      </c>
      <c r="F17">
        <v>3.1020351060457099</v>
      </c>
      <c r="G17">
        <v>3.2324377998312199</v>
      </c>
      <c r="H17" t="s">
        <v>103</v>
      </c>
      <c r="I17" t="s">
        <v>155</v>
      </c>
      <c r="J17">
        <v>2.9694387755102039</v>
      </c>
      <c r="K17">
        <v>3.2105612244897959</v>
      </c>
      <c r="R17" t="s">
        <v>186</v>
      </c>
      <c r="W17" s="2" t="s">
        <v>200</v>
      </c>
    </row>
    <row r="18" spans="1:23" x14ac:dyDescent="0.25">
      <c r="A18" t="s">
        <v>0</v>
      </c>
      <c r="B18" t="s">
        <v>41</v>
      </c>
      <c r="C18" t="s">
        <v>96</v>
      </c>
      <c r="D18" t="s">
        <v>97</v>
      </c>
      <c r="E18">
        <v>3.0536065367984202</v>
      </c>
      <c r="F18">
        <v>2.7363984872635299</v>
      </c>
      <c r="G18">
        <v>3.3708145863332999</v>
      </c>
      <c r="H18" t="s">
        <v>104</v>
      </c>
      <c r="I18" t="s">
        <v>167</v>
      </c>
      <c r="J18">
        <v>2.8939795918367346</v>
      </c>
      <c r="K18">
        <v>3.2060204081632651</v>
      </c>
      <c r="R18" t="s">
        <v>186</v>
      </c>
      <c r="W18" s="2" t="s">
        <v>200</v>
      </c>
    </row>
    <row r="19" spans="1:23" x14ac:dyDescent="0.25">
      <c r="A19" t="s">
        <v>28</v>
      </c>
      <c r="B19" t="s">
        <v>41</v>
      </c>
      <c r="C19" t="s">
        <v>89</v>
      </c>
      <c r="D19" t="s">
        <v>90</v>
      </c>
      <c r="E19">
        <v>2.9110287122802201</v>
      </c>
      <c r="F19">
        <v>2.5787486026280999</v>
      </c>
      <c r="G19">
        <v>3.2433088219323398</v>
      </c>
      <c r="H19" t="s">
        <v>110</v>
      </c>
      <c r="I19" t="s">
        <v>158</v>
      </c>
      <c r="J19">
        <v>2.9752551020408164</v>
      </c>
      <c r="K19">
        <v>3.2447448979591833</v>
      </c>
      <c r="R19" t="s">
        <v>186</v>
      </c>
      <c r="W19" s="2" t="s">
        <v>200</v>
      </c>
    </row>
    <row r="20" spans="1:23" x14ac:dyDescent="0.25">
      <c r="A20" t="s">
        <v>5</v>
      </c>
      <c r="B20" t="s">
        <v>41</v>
      </c>
      <c r="C20" t="s">
        <v>47</v>
      </c>
      <c r="D20" t="s">
        <v>48</v>
      </c>
      <c r="E20">
        <v>3.0272480057202702</v>
      </c>
      <c r="F20">
        <v>2.82165410613062</v>
      </c>
      <c r="G20">
        <v>3.2328419053099302</v>
      </c>
      <c r="H20" t="s">
        <v>101</v>
      </c>
      <c r="I20" t="s">
        <v>166</v>
      </c>
      <c r="J20">
        <v>3.1136224489795921</v>
      </c>
      <c r="K20">
        <v>3.3263775510204083</v>
      </c>
      <c r="O20">
        <v>3.391</v>
      </c>
      <c r="P20">
        <v>3.3484489795918368</v>
      </c>
      <c r="Q20">
        <v>3.4335510204081632</v>
      </c>
      <c r="R20" t="s">
        <v>187</v>
      </c>
      <c r="S20">
        <v>3.2651071428571425</v>
      </c>
      <c r="T20">
        <v>3.2948928571428571</v>
      </c>
      <c r="W20" s="2" t="s">
        <v>202</v>
      </c>
    </row>
    <row r="21" spans="1:23" x14ac:dyDescent="0.25">
      <c r="A21" t="s">
        <v>13</v>
      </c>
      <c r="B21" t="s">
        <v>41</v>
      </c>
      <c r="C21" t="s">
        <v>47</v>
      </c>
      <c r="D21" t="s">
        <v>64</v>
      </c>
      <c r="E21">
        <v>3.02144058418485</v>
      </c>
      <c r="F21">
        <v>2.4049807178363101</v>
      </c>
      <c r="G21">
        <v>3.6379004505333898</v>
      </c>
      <c r="H21" t="s">
        <v>107</v>
      </c>
      <c r="I21" t="s">
        <v>165</v>
      </c>
      <c r="J21">
        <v>3.0203571428571423</v>
      </c>
      <c r="K21">
        <v>3.1196428571428574</v>
      </c>
      <c r="R21" t="s">
        <v>186</v>
      </c>
      <c r="W21" s="2" t="s">
        <v>200</v>
      </c>
    </row>
    <row r="22" spans="1:23" x14ac:dyDescent="0.25">
      <c r="A22" t="s">
        <v>3</v>
      </c>
      <c r="B22" t="s">
        <v>41</v>
      </c>
      <c r="C22" t="s">
        <v>42</v>
      </c>
      <c r="D22" t="s">
        <v>43</v>
      </c>
      <c r="E22">
        <v>3.0455204705479</v>
      </c>
      <c r="F22">
        <v>3.01127953801435</v>
      </c>
      <c r="G22">
        <v>3.07976140308145</v>
      </c>
      <c r="H22" t="s">
        <v>99</v>
      </c>
      <c r="I22" t="s">
        <v>165</v>
      </c>
      <c r="J22">
        <v>2.9565306122448978</v>
      </c>
      <c r="K22">
        <v>3.1834693877551019</v>
      </c>
      <c r="R22" t="s">
        <v>165</v>
      </c>
      <c r="S22">
        <v>2.9487295918367344</v>
      </c>
      <c r="T22">
        <v>3.1912704081632652</v>
      </c>
      <c r="W22" s="2" t="s">
        <v>190</v>
      </c>
    </row>
    <row r="23" spans="1:23" x14ac:dyDescent="0.25">
      <c r="A23" t="s">
        <v>17</v>
      </c>
      <c r="B23" t="s">
        <v>41</v>
      </c>
      <c r="C23" t="s">
        <v>42</v>
      </c>
      <c r="D23" t="s">
        <v>69</v>
      </c>
      <c r="E23">
        <v>3.1501534181979101</v>
      </c>
      <c r="F23">
        <v>3.11383595322493</v>
      </c>
      <c r="G23">
        <v>3.1864708831708901</v>
      </c>
      <c r="H23" t="s">
        <v>109</v>
      </c>
      <c r="I23" t="s">
        <v>159</v>
      </c>
      <c r="J23">
        <v>3.0465306122448985</v>
      </c>
      <c r="K23">
        <v>3.2734693877551018</v>
      </c>
      <c r="R23" t="s">
        <v>151</v>
      </c>
      <c r="S23">
        <v>3.0895765306122449</v>
      </c>
      <c r="T23">
        <v>3.1704234693877549</v>
      </c>
      <c r="W23" s="2" t="s">
        <v>201</v>
      </c>
    </row>
    <row r="24" spans="1:23" x14ac:dyDescent="0.25">
      <c r="A24" t="s">
        <v>9</v>
      </c>
      <c r="B24" t="s">
        <v>41</v>
      </c>
      <c r="C24" t="s">
        <v>56</v>
      </c>
      <c r="D24" t="s">
        <v>57</v>
      </c>
      <c r="E24">
        <v>3.0209305374264899</v>
      </c>
      <c r="F24">
        <v>2.9839864075006002</v>
      </c>
      <c r="G24">
        <v>3.05787466735238</v>
      </c>
      <c r="H24" t="s">
        <v>104</v>
      </c>
      <c r="I24" t="s">
        <v>167</v>
      </c>
      <c r="J24">
        <v>2.8939795918367346</v>
      </c>
      <c r="K24">
        <v>3.2060204081632651</v>
      </c>
      <c r="R24" t="s">
        <v>169</v>
      </c>
      <c r="S24">
        <v>2.9123418367346936</v>
      </c>
      <c r="T24">
        <v>2.9676581632653063</v>
      </c>
      <c r="W24" s="2" t="s">
        <v>203</v>
      </c>
    </row>
    <row r="25" spans="1:23" x14ac:dyDescent="0.25">
      <c r="A25" t="s">
        <v>11</v>
      </c>
      <c r="B25" t="s">
        <v>41</v>
      </c>
      <c r="C25" t="s">
        <v>56</v>
      </c>
      <c r="D25" t="s">
        <v>60</v>
      </c>
      <c r="E25">
        <v>3.0020974020896101</v>
      </c>
      <c r="F25">
        <v>2.9423591513296801</v>
      </c>
      <c r="G25">
        <v>3.0618356528495299</v>
      </c>
      <c r="H25" t="s">
        <v>106</v>
      </c>
      <c r="I25" t="s">
        <v>168</v>
      </c>
      <c r="J25">
        <v>2.861071428571428</v>
      </c>
      <c r="K25">
        <v>3.1589285714285715</v>
      </c>
      <c r="R25" t="s">
        <v>186</v>
      </c>
      <c r="W25" s="2" t="s">
        <v>200</v>
      </c>
    </row>
    <row r="26" spans="1:23" x14ac:dyDescent="0.25">
      <c r="A26" t="s">
        <v>12</v>
      </c>
      <c r="B26" t="s">
        <v>61</v>
      </c>
      <c r="C26" t="s">
        <v>62</v>
      </c>
      <c r="D26" t="s">
        <v>63</v>
      </c>
      <c r="E26">
        <v>2.3821593663779099</v>
      </c>
      <c r="F26">
        <v>1.43834679592498</v>
      </c>
      <c r="G26">
        <v>3.32597193683084</v>
      </c>
      <c r="H26" t="s">
        <v>116</v>
      </c>
      <c r="I26" t="s">
        <v>160</v>
      </c>
      <c r="J26">
        <v>2.9736224489795919</v>
      </c>
      <c r="K26">
        <v>3.1863775510204082</v>
      </c>
      <c r="R26" t="s">
        <v>188</v>
      </c>
      <c r="S26">
        <v>2.8538316326530611</v>
      </c>
      <c r="T26">
        <v>2.9261683673469392</v>
      </c>
      <c r="W26" s="2" t="s">
        <v>204</v>
      </c>
    </row>
    <row r="27" spans="1:23" x14ac:dyDescent="0.25">
      <c r="A27" t="s">
        <v>29</v>
      </c>
      <c r="B27" t="s">
        <v>61</v>
      </c>
      <c r="C27" t="s">
        <v>62</v>
      </c>
      <c r="D27" t="s">
        <v>91</v>
      </c>
      <c r="E27">
        <v>2.8987092976541802</v>
      </c>
      <c r="F27">
        <v>2.8018625555502301</v>
      </c>
      <c r="G27">
        <v>2.9955560397581298</v>
      </c>
      <c r="H27" t="s">
        <v>112</v>
      </c>
      <c r="I27" t="s">
        <v>164</v>
      </c>
      <c r="J27">
        <v>2.9923469387755106</v>
      </c>
      <c r="K27">
        <v>3.2476530612244896</v>
      </c>
    </row>
    <row r="28" spans="1:23" x14ac:dyDescent="0.25">
      <c r="H28" s="1" t="s">
        <v>117</v>
      </c>
      <c r="I28" s="1"/>
      <c r="J28" s="1"/>
      <c r="K28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95CI_fromRefs</vt:lpstr>
      <vt:lpstr>FRI_Comparison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Matt</dc:creator>
  <cp:lastModifiedBy>Wilson, Matt</cp:lastModifiedBy>
  <dcterms:created xsi:type="dcterms:W3CDTF">2015-06-05T18:17:20Z</dcterms:created>
  <dcterms:modified xsi:type="dcterms:W3CDTF">2025-11-10T14:40:00Z</dcterms:modified>
</cp:coreProperties>
</file>